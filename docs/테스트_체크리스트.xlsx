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dkim06/study/hitec/ht_terminal/docs/"/>
    </mc:Choice>
  </mc:AlternateContent>
  <xr:revisionPtr revIDLastSave="0" documentId="13_ncr:1_{0F7A6813-1D8A-3749-96EB-0A66AE545764}" xr6:coauthVersionLast="47" xr6:coauthVersionMax="47" xr10:uidLastSave="{00000000-0000-0000-0000-000000000000}"/>
  <bookViews>
    <workbookView xWindow="28800" yWindow="500" windowWidth="19200" windowHeight="21100" activeTab="1" xr2:uid="{7A230418-A3ED-42FF-9FF0-7BE542EF8DC3}"/>
  </bookViews>
  <sheets>
    <sheet name="요약" sheetId="11" r:id="rId1"/>
    <sheet name="테스트 결과" sheetId="1" r:id="rId2"/>
    <sheet name="참고사항" sheetId="17" r:id="rId3"/>
  </sheets>
  <externalReferences>
    <externalReference r:id="rId4"/>
    <externalReference r:id="rId5"/>
  </externalReferences>
  <definedNames>
    <definedName name="_xlnm._FilterDatabase" localSheetId="0" hidden="1">요약!$D$7:$J$8</definedName>
    <definedName name="_xlnm._FilterDatabase" localSheetId="2" hidden="1">참고사항!$A$1:$C$8</definedName>
    <definedName name="_xlnm._FilterDatabase" localSheetId="1" hidden="1">'테스트 결과'!$A$1:$D$50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1" l="1"/>
  <c r="J13" i="11"/>
  <c r="J12" i="11"/>
  <c r="J11" i="11"/>
  <c r="I14" i="11"/>
  <c r="I13" i="11"/>
  <c r="I12" i="11"/>
  <c r="I11" i="11"/>
  <c r="H14" i="11"/>
  <c r="H13" i="11"/>
  <c r="H12" i="11"/>
  <c r="H11" i="11"/>
  <c r="G11" i="11"/>
  <c r="G12" i="11"/>
  <c r="G13" i="11"/>
  <c r="G14" i="11"/>
  <c r="J10" i="11"/>
  <c r="I10" i="11"/>
  <c r="H10" i="11"/>
  <c r="J9" i="11"/>
  <c r="I9" i="11"/>
  <c r="G10" i="11"/>
  <c r="H9" i="11"/>
  <c r="G9" i="11"/>
  <c r="G15" i="11" s="1"/>
  <c r="I15" i="11" l="1"/>
  <c r="H15" i="11"/>
  <c r="J15" i="11"/>
  <c r="F9" i="11"/>
  <c r="E9" i="11"/>
  <c r="F10" i="11"/>
  <c r="E14" i="11"/>
  <c r="E13" i="11"/>
  <c r="E12" i="11"/>
  <c r="E11" i="11"/>
  <c r="E10" i="11"/>
  <c r="D9" i="11"/>
  <c r="D14" i="11"/>
  <c r="D13" i="11"/>
  <c r="D12" i="11"/>
  <c r="D11" i="11"/>
  <c r="D10" i="11"/>
  <c r="E15" i="11" l="1"/>
  <c r="F14" i="11"/>
  <c r="F11" i="11"/>
  <c r="F12" i="11"/>
  <c r="F13" i="11"/>
  <c r="F15" i="11" l="1"/>
</calcChain>
</file>

<file path=xl/sharedStrings.xml><?xml version="1.0" encoding="utf-8"?>
<sst xmlns="http://schemas.openxmlformats.org/spreadsheetml/2006/main" count="202" uniqueCount="151">
  <si>
    <t>참고사항</t>
    <phoneticPr fontId="2" type="noConversion"/>
  </si>
  <si>
    <t>시간단위 정상 동작 로그</t>
    <phoneticPr fontId="2" type="noConversion"/>
  </si>
  <si>
    <t>분단위 정상 동작 로그</t>
    <phoneticPr fontId="2" type="noConversion"/>
  </si>
  <si>
    <t>Slave 및 무선통신 실패 로그 (3분단위 통신 동작, 1시간)</t>
    <phoneticPr fontId="2" type="noConversion"/>
  </si>
  <si>
    <t>초기 Slave 통신이 동작 도중 복구되는 경우의 로그 (3분단위 통신 동작, 20분)</t>
    <phoneticPr fontId="2" type="noConversion"/>
  </si>
  <si>
    <t xml:space="preserve">검침 데이터를 못읽어 올 경우 MT_DOWN으로 저장하는지? </t>
    <phoneticPr fontId="2" type="noConversion"/>
  </si>
  <si>
    <t xml:space="preserve">결과 </t>
    <phoneticPr fontId="2" type="noConversion"/>
  </si>
  <si>
    <t>None</t>
    <phoneticPr fontId="2" type="noConversion"/>
  </si>
  <si>
    <t>Pass</t>
    <phoneticPr fontId="2" type="noConversion"/>
  </si>
  <si>
    <t>Fail</t>
    <phoneticPr fontId="2" type="noConversion"/>
  </si>
  <si>
    <t>테스트 성공</t>
    <phoneticPr fontId="2" type="noConversion"/>
  </si>
  <si>
    <t>테스트 실패</t>
    <phoneticPr fontId="2" type="noConversion"/>
  </si>
  <si>
    <t>Skip</t>
    <phoneticPr fontId="2" type="noConversion"/>
  </si>
  <si>
    <t>설명</t>
    <phoneticPr fontId="2" type="noConversion"/>
  </si>
  <si>
    <t>시간단위 주기 검침/보고 완료 후 Sleep mode로 진입하는지?</t>
    <phoneticPr fontId="2" type="noConversion"/>
  </si>
  <si>
    <t>분단위 주기 검침/보고 완료 후 Sleep mode로 진입하는지?</t>
  </si>
  <si>
    <t>NFC 설정에 의한 단말기 Sleep mode 진입 시 소모전류</t>
    <phoneticPr fontId="2" type="noConversion"/>
  </si>
  <si>
    <t>Test No</t>
    <phoneticPr fontId="2" type="noConversion"/>
  </si>
  <si>
    <t>Test Case</t>
    <phoneticPr fontId="2" type="noConversion"/>
  </si>
  <si>
    <t>주기검침 데이터 누적 제한 초과 시 알고리즘에 맞게 데이터를 정리하는지?
(ex : 1시간 단위를 2시간 단위 데이터로 변경.)</t>
    <phoneticPr fontId="2" type="noConversion"/>
  </si>
  <si>
    <t>검침 데이터를 0개 읽어 올 경우 0개로 처리하는지? (저장안하고 그대로 처리.)</t>
    <phoneticPr fontId="2" type="noConversion"/>
  </si>
  <si>
    <t xml:space="preserve">검침 실패 시 MT_DOWN으로 저장하는지? </t>
    <phoneticPr fontId="2" type="noConversion"/>
  </si>
  <si>
    <t>주기 검침을 정상적으로 수행하는지?</t>
    <phoneticPr fontId="2" type="noConversion"/>
  </si>
  <si>
    <t>즉시 검침을 정상적으로 수행하는지?</t>
    <phoneticPr fontId="2" type="noConversion"/>
  </si>
  <si>
    <t>장치 리셋 요청이 정상적으로 동작하는지?</t>
    <phoneticPr fontId="2" type="noConversion"/>
  </si>
  <si>
    <t>검침/보고 주기 업데이트 요청이 정상적으로 동작하는지?</t>
    <phoneticPr fontId="2" type="noConversion"/>
  </si>
  <si>
    <t>서버 접속 요청 시도 시 진행 및 완료 여부를 확인할 수 있는지?</t>
    <phoneticPr fontId="2" type="noConversion"/>
  </si>
  <si>
    <t>서버 접속 설정 업데이트 요청이 정상적으로 동작하는지?</t>
    <phoneticPr fontId="2" type="noConversion"/>
  </si>
  <si>
    <t>서버 접속 요청이 정상적으로 동작하는지?</t>
    <phoneticPr fontId="2" type="noConversion"/>
  </si>
  <si>
    <t>서버 접속 상태정보 요청이 정상적으로 동작하는지?</t>
    <phoneticPr fontId="2" type="noConversion"/>
  </si>
  <si>
    <t>설정 정보 읽기/저장 요청이 정상적으로 동작하는지?</t>
    <phoneticPr fontId="2" type="noConversion"/>
  </si>
  <si>
    <t>즉시 검침 요청이 정상적으로 동작하는지?</t>
    <phoneticPr fontId="2" type="noConversion"/>
  </si>
  <si>
    <t>주기 검침 데이터 요청이 정상적으로 동작하는지?</t>
    <phoneticPr fontId="2" type="noConversion"/>
  </si>
  <si>
    <t>검침 실패 시 재시도를 정상적으로 수행하는지?</t>
  </si>
  <si>
    <t>시간동기화 동작이 단말기 최초 부팅할 때 부터 동작하는지?</t>
    <phoneticPr fontId="2" type="noConversion"/>
  </si>
  <si>
    <t>시간단위 주기 검침 알람이 정상적으로 동작하는지?</t>
    <phoneticPr fontId="2" type="noConversion"/>
  </si>
  <si>
    <t>시간단위 주기 보고 알람이 정상적으로 동작하는지?</t>
    <phoneticPr fontId="2" type="noConversion"/>
  </si>
  <si>
    <t>분단위 주기 보고 알람이 정상적으로 동작하는지?</t>
    <phoneticPr fontId="2" type="noConversion"/>
  </si>
  <si>
    <t>분단위 주기 검침 알람이 정상적으로 동작하는지?</t>
    <phoneticPr fontId="2" type="noConversion"/>
  </si>
  <si>
    <t>즉시검침 데이터 전송이 정상적으로 동작하는지?</t>
    <phoneticPr fontId="2" type="noConversion"/>
  </si>
  <si>
    <t>주기검침 데이터 전송이 정상적으로 동작하는지?</t>
    <phoneticPr fontId="2" type="noConversion"/>
  </si>
  <si>
    <t>검침 데이터 전송 재시도가 정상적으로 동작하는지?</t>
    <phoneticPr fontId="2" type="noConversion"/>
  </si>
  <si>
    <t>시간동기화 동작 실패 시 주기적으로 재시도를 하는지?</t>
    <phoneticPr fontId="2" type="noConversion"/>
  </si>
  <si>
    <t>시간동기화 동작가 일정 주기로 다시 동작하는지? (최소 24시간내 1번)</t>
    <phoneticPr fontId="2" type="noConversion"/>
  </si>
  <si>
    <t>타사/통신사 플랫폼 인증 동작이 일정 주기로 다시 동작하는지?</t>
    <phoneticPr fontId="2" type="noConversion"/>
  </si>
  <si>
    <t>즉시 검침 동작 시도 시 무선통신 동작을 인지하고 Busy를 보고하는지?</t>
  </si>
  <si>
    <t>주기 검침 데이터 요청 재시도가 정상적으로 동작하는지?</t>
    <phoneticPr fontId="2" type="noConversion"/>
  </si>
  <si>
    <t>즉각 검침 데이터 요청이 정상적으로 동작하는지?</t>
    <phoneticPr fontId="2" type="noConversion"/>
  </si>
  <si>
    <t>즉각 검침 데이터 요청 재시도가 정상적으로 동작하는지?</t>
    <phoneticPr fontId="2" type="noConversion"/>
  </si>
  <si>
    <t>시간동기화 동작이 단말 부팅할 때 부터 동작하는지?</t>
    <phoneticPr fontId="2" type="noConversion"/>
  </si>
  <si>
    <t>시간동기화 동작 실패 시 주기적으로 재시도를 하는지?</t>
    <phoneticPr fontId="2" type="noConversion"/>
  </si>
  <si>
    <t>검침기 정보 업데이트가 단말 부팅할 때 부터 동작하는지?</t>
    <phoneticPr fontId="2" type="noConversion"/>
  </si>
  <si>
    <t>검침기 정보 업데이트 실패 시 주기적으로 재시도를 하는지?</t>
    <phoneticPr fontId="2" type="noConversion"/>
  </si>
  <si>
    <t>검침기 정보 업데이트가 주기적으로 동작하는지?</t>
    <phoneticPr fontId="2" type="noConversion"/>
  </si>
  <si>
    <t>소분류</t>
    <phoneticPr fontId="2" type="noConversion"/>
  </si>
  <si>
    <t>대분류</t>
    <phoneticPr fontId="2" type="noConversion"/>
  </si>
  <si>
    <t>주기동작
(A)</t>
    <phoneticPr fontId="2" type="noConversion"/>
  </si>
  <si>
    <t>망접속
(B)</t>
    <phoneticPr fontId="2" type="noConversion"/>
  </si>
  <si>
    <t>인증
(C)</t>
    <phoneticPr fontId="2" type="noConversion"/>
  </si>
  <si>
    <t>시간동기화
(D)</t>
    <phoneticPr fontId="2" type="noConversion"/>
  </si>
  <si>
    <t>무선통신
(B)</t>
    <phoneticPr fontId="2" type="noConversion"/>
  </si>
  <si>
    <t>NFC 동작
(C)</t>
    <phoneticPr fontId="2" type="noConversion"/>
  </si>
  <si>
    <t>시간단위
(A)</t>
    <phoneticPr fontId="2" type="noConversion"/>
  </si>
  <si>
    <t>분단위
(B)</t>
    <phoneticPr fontId="2" type="noConversion"/>
  </si>
  <si>
    <t>검침 데이터
(A)</t>
    <phoneticPr fontId="2" type="noConversion"/>
  </si>
  <si>
    <t>검침 데이터 전송 성공 후 저장된 모든 검침 데이터를 삭제하는지? (주기보고)</t>
    <phoneticPr fontId="2" type="noConversion"/>
  </si>
  <si>
    <t>검침 데이터 전송 실패 시 다음 주기 전송을 위해 데이터를 보존하는지? (주기보고)</t>
    <phoneticPr fontId="2" type="noConversion"/>
  </si>
  <si>
    <t>검침 데이터 전송 시 전송 실패로 누적된 데이터도 함께 전송하는지? (주기보고)</t>
    <phoneticPr fontId="2" type="noConversion"/>
  </si>
  <si>
    <t>망 접속 재시도가 정상적으로 동작하는지? (LoRa의 경우 Join 재시도 동작)</t>
    <phoneticPr fontId="2" type="noConversion"/>
  </si>
  <si>
    <t>즉시 검침 동작 시도 시 진행 및 완료 여부를 확인할 수 있는지?
(다른 방식의 요청에 의한 즉시 검침을 수행하더라도 확인가능 해야 함.)</t>
    <phoneticPr fontId="2" type="noConversion"/>
  </si>
  <si>
    <t>서버 접속
(A)</t>
    <phoneticPr fontId="2" type="noConversion"/>
  </si>
  <si>
    <t>장치 리셋
(B)</t>
    <phoneticPr fontId="2" type="noConversion"/>
  </si>
  <si>
    <t>설정
(C)</t>
    <phoneticPr fontId="2" type="noConversion"/>
  </si>
  <si>
    <t>검침
(D)</t>
    <phoneticPr fontId="2" type="noConversion"/>
  </si>
  <si>
    <t>검침
(A)</t>
    <phoneticPr fontId="2" type="noConversion"/>
  </si>
  <si>
    <t>시간동기화
(C)</t>
    <phoneticPr fontId="2" type="noConversion"/>
  </si>
  <si>
    <t>검침기 정보
(D)</t>
    <phoneticPr fontId="2" type="noConversion"/>
  </si>
  <si>
    <t>Sleep/Idle
(A)</t>
    <phoneticPr fontId="2" type="noConversion"/>
  </si>
  <si>
    <t>Active
(B)</t>
    <phoneticPr fontId="2" type="noConversion"/>
  </si>
  <si>
    <t>RF424/433
(D)</t>
    <phoneticPr fontId="2" type="noConversion"/>
  </si>
  <si>
    <t>계량기 통신
(E)</t>
    <phoneticPr fontId="2" type="noConversion"/>
  </si>
  <si>
    <t>소모전류
(G)</t>
    <phoneticPr fontId="2" type="noConversion"/>
  </si>
  <si>
    <t>C-A-1</t>
    <phoneticPr fontId="2" type="noConversion"/>
  </si>
  <si>
    <t>A-A-1</t>
  </si>
  <si>
    <t>A-A-2</t>
  </si>
  <si>
    <t>A-A-3</t>
  </si>
  <si>
    <t>A-B-1</t>
  </si>
  <si>
    <t>A-B-2</t>
  </si>
  <si>
    <t>A-B-3</t>
  </si>
  <si>
    <t>B-A-1</t>
  </si>
  <si>
    <t>B-A-2</t>
  </si>
  <si>
    <t>B-A-3</t>
  </si>
  <si>
    <t>B-A-4</t>
  </si>
  <si>
    <t>B-A-5</t>
  </si>
  <si>
    <t>B-A-6</t>
  </si>
  <si>
    <t>B-B-1</t>
  </si>
  <si>
    <t>B-C-1</t>
  </si>
  <si>
    <t>B-D-1</t>
  </si>
  <si>
    <t>B-D-2</t>
  </si>
  <si>
    <t>B-D-3</t>
  </si>
  <si>
    <t>C-A-2</t>
    <phoneticPr fontId="2" type="noConversion"/>
  </si>
  <si>
    <t>C-A-3</t>
    <phoneticPr fontId="2" type="noConversion"/>
  </si>
  <si>
    <t>C-B-1</t>
    <phoneticPr fontId="2" type="noConversion"/>
  </si>
  <si>
    <t>C-C-1</t>
    <phoneticPr fontId="2" type="noConversion"/>
  </si>
  <si>
    <t>C-C-2</t>
    <phoneticPr fontId="2" type="noConversion"/>
  </si>
  <si>
    <t>C-C-3</t>
    <phoneticPr fontId="2" type="noConversion"/>
  </si>
  <si>
    <t>C-D-1</t>
    <phoneticPr fontId="2" type="noConversion"/>
  </si>
  <si>
    <t>C-D-2</t>
    <phoneticPr fontId="2" type="noConversion"/>
  </si>
  <si>
    <t>C-D-3</t>
    <phoneticPr fontId="2" type="noConversion"/>
  </si>
  <si>
    <t>D-A-1</t>
    <phoneticPr fontId="2" type="noConversion"/>
  </si>
  <si>
    <t>D-A-2</t>
    <phoneticPr fontId="2" type="noConversion"/>
  </si>
  <si>
    <t>D-A-3</t>
    <phoneticPr fontId="2" type="noConversion"/>
  </si>
  <si>
    <t>D-A-4</t>
    <phoneticPr fontId="2" type="noConversion"/>
  </si>
  <si>
    <t>D-A-5</t>
    <phoneticPr fontId="2" type="noConversion"/>
  </si>
  <si>
    <t>D-A-6</t>
    <phoneticPr fontId="2" type="noConversion"/>
  </si>
  <si>
    <t>D-A-7</t>
    <phoneticPr fontId="2" type="noConversion"/>
  </si>
  <si>
    <t>D-C-1</t>
    <phoneticPr fontId="2" type="noConversion"/>
  </si>
  <si>
    <t>D-C-2</t>
    <phoneticPr fontId="2" type="noConversion"/>
  </si>
  <si>
    <t>D-D-1</t>
    <phoneticPr fontId="2" type="noConversion"/>
  </si>
  <si>
    <t>D-D-2</t>
    <phoneticPr fontId="2" type="noConversion"/>
  </si>
  <si>
    <t>D-D-3</t>
    <phoneticPr fontId="2" type="noConversion"/>
  </si>
  <si>
    <t>E-A-1</t>
    <phoneticPr fontId="2" type="noConversion"/>
  </si>
  <si>
    <t>E-A-2</t>
    <phoneticPr fontId="2" type="noConversion"/>
  </si>
  <si>
    <t>E-A-3</t>
    <phoneticPr fontId="2" type="noConversion"/>
  </si>
  <si>
    <t>E-A-4</t>
    <phoneticPr fontId="2" type="noConversion"/>
  </si>
  <si>
    <t>E-A-5</t>
    <phoneticPr fontId="2" type="noConversion"/>
  </si>
  <si>
    <t>G-A-1</t>
    <phoneticPr fontId="2" type="noConversion"/>
  </si>
  <si>
    <t>G-A-2</t>
    <phoneticPr fontId="2" type="noConversion"/>
  </si>
  <si>
    <t>G-B-1</t>
    <phoneticPr fontId="2" type="noConversion"/>
  </si>
  <si>
    <t>G-B-2</t>
    <phoneticPr fontId="2" type="noConversion"/>
  </si>
  <si>
    <t>테스트 로그</t>
    <phoneticPr fontId="2" type="noConversion"/>
  </si>
  <si>
    <t>테스트 결과 종류</t>
    <phoneticPr fontId="2" type="noConversion"/>
  </si>
  <si>
    <t>IDLE 소모전류</t>
    <phoneticPr fontId="2" type="noConversion"/>
  </si>
  <si>
    <t>Sleep 소모전류</t>
    <phoneticPr fontId="2" type="noConversion"/>
  </si>
  <si>
    <t>G-A-3</t>
    <phoneticPr fontId="2" type="noConversion"/>
  </si>
  <si>
    <t>즉시 보고 후 Idle 상태에서의 소모 전류</t>
    <phoneticPr fontId="2" type="noConversion"/>
  </si>
  <si>
    <t>주기 보고 후 Idle 상태에서의 소모 전류</t>
    <phoneticPr fontId="2" type="noConversion"/>
  </si>
  <si>
    <t>결과</t>
    <phoneticPr fontId="2" type="noConversion"/>
  </si>
  <si>
    <t>Fail</t>
    <phoneticPr fontId="2" type="noConversion"/>
  </si>
  <si>
    <t>Pass</t>
    <phoneticPr fontId="2" type="noConversion"/>
  </si>
  <si>
    <t>결과</t>
    <phoneticPr fontId="2" type="noConversion"/>
  </si>
  <si>
    <t>총 개수</t>
    <phoneticPr fontId="2" type="noConversion"/>
  </si>
  <si>
    <t>총합</t>
    <phoneticPr fontId="2" type="noConversion"/>
  </si>
  <si>
    <t>총 합</t>
    <phoneticPr fontId="2" type="noConversion"/>
  </si>
  <si>
    <t>특정 이유로 테스트를 생략한 경우 (참고사항 확인)</t>
    <phoneticPr fontId="2" type="noConversion"/>
  </si>
  <si>
    <t>의미없는 테스트로 생략된 경우 (참고사항 확인)</t>
    <phoneticPr fontId="2" type="noConversion"/>
  </si>
  <si>
    <t>Active 소모전류 계산 (무선통신 100% 성공)</t>
    <phoneticPr fontId="2" type="noConversion"/>
  </si>
  <si>
    <t>Active 소모전류 계산 (무선통신 0% 성공)</t>
    <phoneticPr fontId="2" type="noConversion"/>
  </si>
  <si>
    <t>Active 소모전류 계산</t>
    <phoneticPr fontId="2" type="noConversion"/>
  </si>
  <si>
    <t>장비 확인 및 소모전류테스트 로그 참조.</t>
    <phoneticPr fontId="2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</si>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</sst>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0" tint="-0.499984740745262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rgb="FF0070C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4" fillId="2" borderId="3" xfId="1" applyFont="1" applyBorder="1" applyAlignment="1">
      <alignment horizontal="center" vertical="center" wrapText="1"/>
    </xf>
    <xf numFmtId="49" fontId="4" fillId="2" borderId="3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4" fillId="2" borderId="4" xfId="1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2" borderId="1" xfId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3" xfId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2">
    <cellStyle name="보통" xfId="1" builtinId="28"/>
    <cellStyle name="표준" xfId="0" builtinId="0"/>
  </cellStyles>
  <dxfs count="20"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strike val="0"/>
        <color theme="0" tint="-0.499984740745262"/>
      </font>
    </dxf>
    <dxf>
      <font>
        <b/>
        <i val="0"/>
        <strike val="0"/>
        <color theme="1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strike val="0"/>
        <color theme="0" tint="-0.499984740745262"/>
      </font>
    </dxf>
    <dxf>
      <font>
        <b/>
        <i val="0"/>
        <strike val="0"/>
        <color theme="1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strike val="0"/>
        <color theme="0" tint="-0.499984740745262"/>
      </font>
    </dxf>
    <dxf>
      <font>
        <b/>
        <i val="0"/>
        <strike val="0"/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adkim06/Library/Containers/com.microsoft.Excel/Data/Documents/C:\_SoftwareOK\Q-Dir\2018-11-22%20(NB-IoT)\HAT-435W_U103_&#53580;&#49828;&#53944;_&#52404;&#53356;&#47532;&#49828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_SoftwareOK/Q-Dir/2018-11-22%20(NB-IoT)/HAT-435W_U103_&#53580;&#49828;&#53944;_&#52404;&#53356;&#47532;&#49828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5518-D0A5-4124-BD73-EAE5B204DBD4}">
  <dimension ref="A1:J20"/>
  <sheetViews>
    <sheetView workbookViewId="0">
      <selection activeCell="B15" sqref="B15"/>
    </sheetView>
  </sheetViews>
  <sheetFormatPr baseColWidth="10" defaultColWidth="8.83203125" defaultRowHeight="17"/>
  <cols>
    <col min="1" max="1" width="34.6640625" bestFit="1" customWidth="1"/>
    <col min="2" max="2" width="39.33203125" bestFit="1" customWidth="1"/>
    <col min="4" max="4" width="15.6640625" customWidth="1"/>
    <col min="5" max="5" width="6.33203125" bestFit="1" customWidth="1"/>
    <col min="6" max="6" width="6.33203125" customWidth="1"/>
    <col min="7" max="8" width="8.6640625" customWidth="1"/>
  </cols>
  <sheetData>
    <row r="1" spans="1:10" ht="18" thickBot="1">
      <c r="A1" s="13" t="s">
        <v>130</v>
      </c>
      <c r="B1" s="13" t="s">
        <v>13</v>
      </c>
      <c r="D1" s="19" t="s">
        <v>131</v>
      </c>
      <c r="E1" s="36" t="s">
        <v>13</v>
      </c>
      <c r="F1" s="36"/>
      <c r="G1" s="36"/>
      <c r="H1" s="36"/>
      <c r="I1" s="36"/>
      <c r="J1" s="36"/>
    </row>
    <row r="2" spans="1:10" ht="18" customHeight="1" thickTop="1">
      <c r="A2" s="20"/>
      <c r="B2" s="20" t="s">
        <v>1</v>
      </c>
      <c r="D2" s="21" t="s">
        <v>8</v>
      </c>
      <c r="E2" s="37" t="s">
        <v>10</v>
      </c>
      <c r="F2" s="37"/>
      <c r="G2" s="37"/>
      <c r="H2" s="37"/>
      <c r="I2" s="37"/>
      <c r="J2" s="37"/>
    </row>
    <row r="3" spans="1:10" ht="17.5" customHeight="1">
      <c r="A3" s="15"/>
      <c r="B3" s="15" t="s">
        <v>2</v>
      </c>
      <c r="D3" s="22" t="s">
        <v>9</v>
      </c>
      <c r="E3" s="38" t="s">
        <v>11</v>
      </c>
      <c r="F3" s="38"/>
      <c r="G3" s="38"/>
      <c r="H3" s="38"/>
      <c r="I3" s="38"/>
      <c r="J3" s="38"/>
    </row>
    <row r="4" spans="1:10" ht="26.5" customHeight="1">
      <c r="A4" s="15"/>
      <c r="B4" s="15" t="s">
        <v>4</v>
      </c>
      <c r="D4" s="23" t="s">
        <v>7</v>
      </c>
      <c r="E4" s="38" t="s">
        <v>145</v>
      </c>
      <c r="F4" s="38"/>
      <c r="G4" s="38"/>
      <c r="H4" s="38"/>
      <c r="I4" s="38"/>
      <c r="J4" s="38"/>
    </row>
    <row r="5" spans="1:10" ht="17.5" customHeight="1">
      <c r="A5" s="15"/>
      <c r="B5" s="15" t="s">
        <v>3</v>
      </c>
      <c r="D5" s="24" t="s">
        <v>12</v>
      </c>
      <c r="E5" s="38" t="s">
        <v>144</v>
      </c>
      <c r="F5" s="38"/>
      <c r="G5" s="38"/>
      <c r="H5" s="38"/>
      <c r="I5" s="38"/>
      <c r="J5" s="38"/>
    </row>
    <row r="6" spans="1:10">
      <c r="A6" s="33" t="s">
        <v>149</v>
      </c>
      <c r="B6" s="15" t="s">
        <v>133</v>
      </c>
    </row>
    <row r="7" spans="1:10">
      <c r="A7" s="33" t="s">
        <v>149</v>
      </c>
      <c r="B7" s="15" t="s">
        <v>132</v>
      </c>
      <c r="D7" s="34" t="s">
        <v>55</v>
      </c>
      <c r="E7" s="34" t="s">
        <v>141</v>
      </c>
      <c r="F7" s="34" t="s">
        <v>142</v>
      </c>
      <c r="G7" s="35" t="s">
        <v>140</v>
      </c>
      <c r="H7" s="35"/>
      <c r="I7" s="35"/>
      <c r="J7" s="35"/>
    </row>
    <row r="8" spans="1:10">
      <c r="A8" s="15"/>
      <c r="B8" s="15" t="s">
        <v>148</v>
      </c>
      <c r="D8" s="34"/>
      <c r="E8" s="34"/>
      <c r="F8" s="34"/>
      <c r="G8" s="26" t="s">
        <v>139</v>
      </c>
      <c r="H8" s="27" t="s">
        <v>138</v>
      </c>
      <c r="I8" s="28" t="s">
        <v>12</v>
      </c>
      <c r="J8" s="29" t="s">
        <v>7</v>
      </c>
    </row>
    <row r="9" spans="1:10">
      <c r="A9" s="32"/>
      <c r="B9" s="32"/>
      <c r="D9" s="17" t="str">
        <f>'테스트 결과'!A2</f>
        <v>주기동작
(A)</v>
      </c>
      <c r="E9" s="17">
        <f>COUNTIF('테스트 결과'!C:C,"A-*")</f>
        <v>6</v>
      </c>
      <c r="F9" s="17">
        <f t="shared" ref="F9:F14" si="0">G9+H9+I9+J9</f>
        <v>6</v>
      </c>
      <c r="G9" s="17">
        <f>COUNTIFS('테스트 결과'!C:C, "A-*", '테스트 결과'!D:D, G8)</f>
        <v>6</v>
      </c>
      <c r="H9" s="17">
        <f>COUNTIFS('테스트 결과'!C:C, "A-*", '테스트 결과'!D:D, H8)</f>
        <v>0</v>
      </c>
      <c r="I9" s="17">
        <f>COUNTIFS('테스트 결과'!C:C, "A-*", '테스트 결과'!D:D, I8)</f>
        <v>0</v>
      </c>
      <c r="J9" s="17">
        <f>COUNTIFS('테스트 결과'!C:C, "A-*", '테스트 결과'!D:D, J8)</f>
        <v>0</v>
      </c>
    </row>
    <row r="10" spans="1:10">
      <c r="A10" s="32"/>
      <c r="B10" s="32"/>
      <c r="C10" s="25"/>
      <c r="D10" s="17" t="str">
        <f>'테스트 결과'!A8</f>
        <v>무선통신
(B)</v>
      </c>
      <c r="E10" s="17">
        <f>COUNTIF('테스트 결과'!C:C,"B-*")</f>
        <v>11</v>
      </c>
      <c r="F10" s="17">
        <f t="shared" si="0"/>
        <v>11</v>
      </c>
      <c r="G10" s="17">
        <f>COUNTIFS('테스트 결과'!C:C, "B-*", '테스트 결과'!D:D, G8)</f>
        <v>11</v>
      </c>
      <c r="H10" s="17">
        <f>COUNTIFS('테스트 결과'!C:C, "B-*", '테스트 결과'!D:D, H8)</f>
        <v>0</v>
      </c>
      <c r="I10" s="17">
        <f>COUNTIFS('테스트 결과'!C:C, "B-*", '테스트 결과'!D:D, I8)</f>
        <v>0</v>
      </c>
      <c r="J10" s="17">
        <f>COUNTIFS('테스트 결과'!C:C, "B-*", '테스트 결과'!D:D, J8)</f>
        <v>0</v>
      </c>
    </row>
    <row r="11" spans="1:10">
      <c r="A11" s="32"/>
      <c r="B11" s="32"/>
      <c r="D11" s="17" t="str">
        <f>'테스트 결과'!A19</f>
        <v>NFC 동작
(C)</v>
      </c>
      <c r="E11" s="17">
        <f>COUNTIF('테스트 결과'!C:C,"C-*")</f>
        <v>10</v>
      </c>
      <c r="F11" s="17">
        <f t="shared" si="0"/>
        <v>10</v>
      </c>
      <c r="G11" s="17">
        <f>COUNTIFS('테스트 결과'!C:C, "C-*", '테스트 결과'!D:D, G8)</f>
        <v>10</v>
      </c>
      <c r="H11" s="17">
        <f>COUNTIFS('테스트 결과'!C:C, "C-*", '테스트 결과'!D:D, H8)</f>
        <v>0</v>
      </c>
      <c r="I11" s="17">
        <f>COUNTIFS('테스트 결과'!C:C, "C-*", '테스트 결과'!D:D, I8)</f>
        <v>0</v>
      </c>
      <c r="J11" s="17">
        <f>COUNTIFS('테스트 결과'!C:C, "C-*", '테스트 결과'!D:D, J8)</f>
        <v>0</v>
      </c>
    </row>
    <row r="12" spans="1:10">
      <c r="A12" s="32"/>
      <c r="B12" s="32"/>
      <c r="D12" s="17" t="str">
        <f>'테스트 결과'!A29</f>
        <v>RF424/433
(D)</v>
      </c>
      <c r="E12" s="17">
        <f>COUNTIF('테스트 결과'!C:C,"D-*")</f>
        <v>12</v>
      </c>
      <c r="F12" s="17">
        <f t="shared" si="0"/>
        <v>12</v>
      </c>
      <c r="G12" s="17">
        <f>COUNTIFS('테스트 결과'!C:C, "D-*", '테스트 결과'!D:D, G8)</f>
        <v>12</v>
      </c>
      <c r="H12" s="17">
        <f>COUNTIFS('테스트 결과'!C:C, "D-*", '테스트 결과'!D:D, H8)</f>
        <v>0</v>
      </c>
      <c r="I12" s="17">
        <f>COUNTIFS('테스트 결과'!C:C, "D-*", '테스트 결과'!D:D, I8)</f>
        <v>0</v>
      </c>
      <c r="J12" s="17">
        <f>COUNTIFS('테스트 결과'!C:C, "D-*", '테스트 결과'!D:D, J8)</f>
        <v>0</v>
      </c>
    </row>
    <row r="13" spans="1:10" ht="18" customHeight="1">
      <c r="A13" s="16"/>
      <c r="B13" s="16"/>
      <c r="D13" s="17" t="str">
        <f>'테스트 결과'!A41</f>
        <v>계량기 통신
(E)</v>
      </c>
      <c r="E13" s="17">
        <f>COUNTIF('테스트 결과'!C:C,"E-*")</f>
        <v>5</v>
      </c>
      <c r="F13" s="17">
        <f t="shared" si="0"/>
        <v>5</v>
      </c>
      <c r="G13" s="17">
        <f>COUNTIFS('테스트 결과'!C:C, "E-*", '테스트 결과'!D:D, G8)</f>
        <v>5</v>
      </c>
      <c r="H13" s="17">
        <f>COUNTIFS('테스트 결과'!C:C, "E-*", '테스트 결과'!D:D, H8)</f>
        <v>0</v>
      </c>
      <c r="I13" s="17">
        <f>COUNTIFS('테스트 결과'!C:C, "E-*", '테스트 결과'!D:D, I8)</f>
        <v>0</v>
      </c>
      <c r="J13" s="17">
        <f>COUNTIFS('테스트 결과'!C:C, "E-*", '테스트 결과'!D:D, J8)</f>
        <v>0</v>
      </c>
    </row>
    <row r="14" spans="1:10" ht="17.5" customHeight="1">
      <c r="D14" s="17" t="str">
        <f>'테스트 결과'!A46</f>
        <v>소모전류
(G)</v>
      </c>
      <c r="E14" s="17">
        <f>COUNTIF('테스트 결과'!C:C,"G-*")</f>
        <v>5</v>
      </c>
      <c r="F14" s="17">
        <f t="shared" si="0"/>
        <v>0</v>
      </c>
      <c r="G14" s="17">
        <f>COUNTIFS('테스트 결과'!C:C, "G-*", '테스트 결과'!D:D, G8)</f>
        <v>0</v>
      </c>
      <c r="H14" s="17">
        <f>COUNTIFS('테스트 결과'!C:C, "G-*", '테스트 결과'!D:D, H8)</f>
        <v>0</v>
      </c>
      <c r="I14" s="17">
        <f>COUNTIFS('테스트 결과'!C:C, "G-*", '테스트 결과'!D:D, I8)</f>
        <v>0</v>
      </c>
      <c r="J14" s="17">
        <f>COUNTIFS('테스트 결과'!C:C, "G-*", '테스트 결과'!D:D, J8)</f>
        <v>0</v>
      </c>
    </row>
    <row r="15" spans="1:10" ht="17.5" customHeight="1">
      <c r="D15" s="30" t="s">
        <v>143</v>
      </c>
      <c r="E15" s="17">
        <f>E9+E10+E11+E12+E13+E14</f>
        <v>49</v>
      </c>
      <c r="F15" s="17">
        <f t="shared" ref="F15:J15" si="1">F9+F10+F11+F12+F13+F14</f>
        <v>44</v>
      </c>
      <c r="G15" s="17">
        <f t="shared" si="1"/>
        <v>44</v>
      </c>
      <c r="H15" s="17">
        <f t="shared" si="1"/>
        <v>0</v>
      </c>
      <c r="I15" s="17">
        <f t="shared" si="1"/>
        <v>0</v>
      </c>
      <c r="J15" s="17">
        <f t="shared" si="1"/>
        <v>0</v>
      </c>
    </row>
    <row r="19" spans="1:2">
      <c r="A19" s="16"/>
      <c r="B19" s="16"/>
    </row>
    <row r="20" spans="1:2">
      <c r="A20" s="16"/>
      <c r="B20" s="16"/>
    </row>
  </sheetData>
  <mergeCells count="9">
    <mergeCell ref="D7:D8"/>
    <mergeCell ref="E7:E8"/>
    <mergeCell ref="G7:J7"/>
    <mergeCell ref="F7:F8"/>
    <mergeCell ref="E1:J1"/>
    <mergeCell ref="E2:J2"/>
    <mergeCell ref="E3:J3"/>
    <mergeCell ref="E4:J4"/>
    <mergeCell ref="E5:J5"/>
  </mergeCells>
  <phoneticPr fontId="2" type="noConversion"/>
  <conditionalFormatting sqref="F9">
    <cfRule type="cellIs" dxfId="19" priority="14" operator="notEqual">
      <formula>$E$9</formula>
    </cfRule>
  </conditionalFormatting>
  <conditionalFormatting sqref="F10">
    <cfRule type="cellIs" dxfId="18" priority="12" operator="notEqual">
      <formula>$E$10</formula>
    </cfRule>
  </conditionalFormatting>
  <conditionalFormatting sqref="F11">
    <cfRule type="cellIs" dxfId="17" priority="10" operator="notEqual">
      <formula>$E$11</formula>
    </cfRule>
  </conditionalFormatting>
  <conditionalFormatting sqref="F12">
    <cfRule type="cellIs" dxfId="16" priority="8" operator="notEqual">
      <formula>$E$12</formula>
    </cfRule>
  </conditionalFormatting>
  <conditionalFormatting sqref="F13">
    <cfRule type="cellIs" dxfId="15" priority="6" operator="notEqual">
      <formula>$E$13</formula>
    </cfRule>
  </conditionalFormatting>
  <conditionalFormatting sqref="F14">
    <cfRule type="cellIs" dxfId="13" priority="2" operator="notEqual">
      <formula>$E$14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0E68-7B35-4D5B-A75D-888E007B7C5C}">
  <sheetPr>
    <pageSetUpPr fitToPage="1"/>
  </sheetPr>
  <dimension ref="A1:E56"/>
  <sheetViews>
    <sheetView tabSelected="1" topLeftCell="A27" zoomScale="115" zoomScaleNormal="115" workbookViewId="0">
      <selection activeCell="D45" sqref="D45"/>
    </sheetView>
  </sheetViews>
  <sheetFormatPr baseColWidth="10" defaultColWidth="8.83203125" defaultRowHeight="15"/>
  <cols>
    <col min="1" max="2" width="10.6640625" style="2" customWidth="1"/>
    <col min="3" max="3" width="10.6640625" style="4" customWidth="1"/>
    <col min="4" max="4" width="8.6640625" style="2" customWidth="1"/>
    <col min="5" max="5" width="60.6640625" style="1" customWidth="1"/>
    <col min="6" max="16384" width="8.83203125" style="1"/>
  </cols>
  <sheetData>
    <row r="1" spans="1:5" ht="16" thickBot="1">
      <c r="A1" s="13" t="s">
        <v>55</v>
      </c>
      <c r="B1" s="13" t="s">
        <v>54</v>
      </c>
      <c r="C1" s="14" t="s">
        <v>17</v>
      </c>
      <c r="D1" s="13" t="s">
        <v>6</v>
      </c>
      <c r="E1" s="13" t="s">
        <v>18</v>
      </c>
    </row>
    <row r="2" spans="1:5" ht="16" thickTop="1">
      <c r="A2" s="40" t="s">
        <v>56</v>
      </c>
      <c r="B2" s="40" t="s">
        <v>62</v>
      </c>
      <c r="C2" s="12" t="s">
        <v>83</v>
      </c>
      <c r="D2" s="7" t="s">
        <v>150</v>
      </c>
      <c r="E2" s="6" t="s">
        <v>35</v>
      </c>
    </row>
    <row r="3" spans="1:5">
      <c r="A3" s="39"/>
      <c r="B3" s="39"/>
      <c r="C3" s="5" t="s">
        <v>84</v>
      </c>
      <c r="D3" s="9" t="s">
        <v>8</v>
      </c>
      <c r="E3" s="8" t="s">
        <v>36</v>
      </c>
    </row>
    <row r="4" spans="1:5">
      <c r="A4" s="39"/>
      <c r="B4" s="39"/>
      <c r="C4" s="5" t="s">
        <v>85</v>
      </c>
      <c r="D4" s="9" t="s">
        <v>8</v>
      </c>
      <c r="E4" s="8" t="s">
        <v>14</v>
      </c>
    </row>
    <row r="5" spans="1:5">
      <c r="A5" s="39"/>
      <c r="B5" s="39" t="s">
        <v>63</v>
      </c>
      <c r="C5" s="5" t="s">
        <v>86</v>
      </c>
      <c r="D5" s="9" t="s">
        <v>8</v>
      </c>
      <c r="E5" s="8" t="s">
        <v>38</v>
      </c>
    </row>
    <row r="6" spans="1:5">
      <c r="A6" s="39"/>
      <c r="B6" s="39"/>
      <c r="C6" s="5" t="s">
        <v>87</v>
      </c>
      <c r="D6" s="9" t="s">
        <v>8</v>
      </c>
      <c r="E6" s="8" t="s">
        <v>37</v>
      </c>
    </row>
    <row r="7" spans="1:5">
      <c r="A7" s="39"/>
      <c r="B7" s="39"/>
      <c r="C7" s="5" t="s">
        <v>88</v>
      </c>
      <c r="D7" s="9" t="s">
        <v>8</v>
      </c>
      <c r="E7" s="8" t="s">
        <v>15</v>
      </c>
    </row>
    <row r="8" spans="1:5">
      <c r="A8" s="39" t="s">
        <v>60</v>
      </c>
      <c r="B8" s="39" t="s">
        <v>64</v>
      </c>
      <c r="C8" s="5" t="s">
        <v>89</v>
      </c>
      <c r="D8" s="9" t="s">
        <v>8</v>
      </c>
      <c r="E8" s="8" t="s">
        <v>39</v>
      </c>
    </row>
    <row r="9" spans="1:5">
      <c r="A9" s="39"/>
      <c r="B9" s="39"/>
      <c r="C9" s="5" t="s">
        <v>90</v>
      </c>
      <c r="D9" s="9" t="s">
        <v>8</v>
      </c>
      <c r="E9" s="8" t="s">
        <v>40</v>
      </c>
    </row>
    <row r="10" spans="1:5">
      <c r="A10" s="39"/>
      <c r="B10" s="39"/>
      <c r="C10" s="5" t="s">
        <v>91</v>
      </c>
      <c r="D10" s="9" t="s">
        <v>8</v>
      </c>
      <c r="E10" s="8" t="s">
        <v>41</v>
      </c>
    </row>
    <row r="11" spans="1:5">
      <c r="A11" s="39"/>
      <c r="B11" s="39"/>
      <c r="C11" s="5" t="s">
        <v>92</v>
      </c>
      <c r="D11" s="9" t="s">
        <v>8</v>
      </c>
      <c r="E11" s="8" t="s">
        <v>65</v>
      </c>
    </row>
    <row r="12" spans="1:5">
      <c r="A12" s="39"/>
      <c r="B12" s="39"/>
      <c r="C12" s="5" t="s">
        <v>93</v>
      </c>
      <c r="D12" s="9" t="s">
        <v>8</v>
      </c>
      <c r="E12" s="8" t="s">
        <v>66</v>
      </c>
    </row>
    <row r="13" spans="1:5">
      <c r="A13" s="39"/>
      <c r="B13" s="39"/>
      <c r="C13" s="5" t="s">
        <v>94</v>
      </c>
      <c r="D13" s="9" t="s">
        <v>8</v>
      </c>
      <c r="E13" s="8" t="s">
        <v>67</v>
      </c>
    </row>
    <row r="14" spans="1:5" ht="30">
      <c r="A14" s="39"/>
      <c r="B14" s="10" t="s">
        <v>57</v>
      </c>
      <c r="C14" s="5" t="s">
        <v>95</v>
      </c>
      <c r="D14" s="9" t="s">
        <v>8</v>
      </c>
      <c r="E14" s="8" t="s">
        <v>68</v>
      </c>
    </row>
    <row r="15" spans="1:5" ht="30">
      <c r="A15" s="39"/>
      <c r="B15" s="10" t="s">
        <v>58</v>
      </c>
      <c r="C15" s="5" t="s">
        <v>96</v>
      </c>
      <c r="D15" s="9" t="s">
        <v>8</v>
      </c>
      <c r="E15" s="8" t="s">
        <v>44</v>
      </c>
    </row>
    <row r="16" spans="1:5">
      <c r="A16" s="39"/>
      <c r="B16" s="39" t="s">
        <v>59</v>
      </c>
      <c r="C16" s="5" t="s">
        <v>97</v>
      </c>
      <c r="D16" s="9" t="s">
        <v>8</v>
      </c>
      <c r="E16" s="8" t="s">
        <v>34</v>
      </c>
    </row>
    <row r="17" spans="1:5">
      <c r="A17" s="39"/>
      <c r="B17" s="39"/>
      <c r="C17" s="5" t="s">
        <v>98</v>
      </c>
      <c r="D17" s="9" t="s">
        <v>8</v>
      </c>
      <c r="E17" s="8" t="s">
        <v>42</v>
      </c>
    </row>
    <row r="18" spans="1:5">
      <c r="A18" s="39"/>
      <c r="B18" s="39"/>
      <c r="C18" s="5" t="s">
        <v>99</v>
      </c>
      <c r="D18" s="9" t="s">
        <v>8</v>
      </c>
      <c r="E18" s="8" t="s">
        <v>43</v>
      </c>
    </row>
    <row r="19" spans="1:5">
      <c r="A19" s="39" t="s">
        <v>61</v>
      </c>
      <c r="B19" s="39" t="s">
        <v>70</v>
      </c>
      <c r="C19" s="5" t="s">
        <v>82</v>
      </c>
      <c r="D19" s="41" t="s">
        <v>150</v>
      </c>
      <c r="E19" s="8" t="s">
        <v>28</v>
      </c>
    </row>
    <row r="20" spans="1:5">
      <c r="A20" s="39"/>
      <c r="B20" s="39"/>
      <c r="C20" s="18" t="s">
        <v>100</v>
      </c>
      <c r="D20" s="41" t="s">
        <v>150</v>
      </c>
      <c r="E20" s="8" t="s">
        <v>26</v>
      </c>
    </row>
    <row r="21" spans="1:5">
      <c r="A21" s="39"/>
      <c r="B21" s="39"/>
      <c r="C21" s="18" t="s">
        <v>101</v>
      </c>
      <c r="D21" s="41" t="s">
        <v>150</v>
      </c>
      <c r="E21" s="8" t="s">
        <v>29</v>
      </c>
    </row>
    <row r="22" spans="1:5" ht="30">
      <c r="A22" s="39"/>
      <c r="B22" s="10" t="s">
        <v>71</v>
      </c>
      <c r="C22" s="18" t="s">
        <v>102</v>
      </c>
      <c r="D22" s="41" t="s">
        <v>150</v>
      </c>
      <c r="E22" s="8" t="s">
        <v>24</v>
      </c>
    </row>
    <row r="23" spans="1:5">
      <c r="A23" s="39"/>
      <c r="B23" s="39" t="s">
        <v>72</v>
      </c>
      <c r="C23" s="18" t="s">
        <v>103</v>
      </c>
      <c r="D23" s="41" t="s">
        <v>150</v>
      </c>
      <c r="E23" s="8" t="s">
        <v>27</v>
      </c>
    </row>
    <row r="24" spans="1:5">
      <c r="A24" s="39"/>
      <c r="B24" s="39"/>
      <c r="C24" s="18" t="s">
        <v>104</v>
      </c>
      <c r="D24" s="41" t="s">
        <v>150</v>
      </c>
      <c r="E24" s="8" t="s">
        <v>25</v>
      </c>
    </row>
    <row r="25" spans="1:5">
      <c r="A25" s="39"/>
      <c r="B25" s="39"/>
      <c r="C25" s="18" t="s">
        <v>105</v>
      </c>
      <c r="D25" s="41" t="s">
        <v>150</v>
      </c>
      <c r="E25" s="8" t="s">
        <v>30</v>
      </c>
    </row>
    <row r="26" spans="1:5">
      <c r="A26" s="39"/>
      <c r="B26" s="39" t="s">
        <v>73</v>
      </c>
      <c r="C26" s="18" t="s">
        <v>106</v>
      </c>
      <c r="D26" s="41" t="s">
        <v>150</v>
      </c>
      <c r="E26" s="8" t="s">
        <v>31</v>
      </c>
    </row>
    <row r="27" spans="1:5" ht="30">
      <c r="A27" s="39"/>
      <c r="B27" s="39"/>
      <c r="C27" s="18" t="s">
        <v>107</v>
      </c>
      <c r="D27" s="41" t="s">
        <v>150</v>
      </c>
      <c r="E27" s="8" t="s">
        <v>69</v>
      </c>
    </row>
    <row r="28" spans="1:5">
      <c r="A28" s="39"/>
      <c r="B28" s="39"/>
      <c r="C28" s="5" t="s">
        <v>108</v>
      </c>
      <c r="D28" s="41" t="s">
        <v>150</v>
      </c>
      <c r="E28" s="8" t="s">
        <v>45</v>
      </c>
    </row>
    <row r="29" spans="1:5">
      <c r="A29" s="39" t="s">
        <v>79</v>
      </c>
      <c r="B29" s="39" t="s">
        <v>74</v>
      </c>
      <c r="C29" s="18" t="s">
        <v>109</v>
      </c>
      <c r="D29" s="41" t="s">
        <v>150</v>
      </c>
      <c r="E29" s="8" t="s">
        <v>32</v>
      </c>
    </row>
    <row r="30" spans="1:5">
      <c r="A30" s="39"/>
      <c r="B30" s="39"/>
      <c r="C30" s="18" t="s">
        <v>110</v>
      </c>
      <c r="D30" s="41" t="s">
        <v>150</v>
      </c>
      <c r="E30" s="8" t="s">
        <v>46</v>
      </c>
    </row>
    <row r="31" spans="1:5">
      <c r="A31" s="39"/>
      <c r="B31" s="39"/>
      <c r="C31" s="18" t="s">
        <v>111</v>
      </c>
      <c r="D31" s="41" t="s">
        <v>150</v>
      </c>
      <c r="E31" s="8" t="s">
        <v>47</v>
      </c>
    </row>
    <row r="32" spans="1:5">
      <c r="A32" s="39"/>
      <c r="B32" s="39"/>
      <c r="C32" s="18" t="s">
        <v>112</v>
      </c>
      <c r="D32" s="41" t="s">
        <v>150</v>
      </c>
      <c r="E32" s="8" t="s">
        <v>48</v>
      </c>
    </row>
    <row r="33" spans="1:5">
      <c r="A33" s="39"/>
      <c r="B33" s="39"/>
      <c r="C33" s="18" t="s">
        <v>113</v>
      </c>
      <c r="D33" s="41" t="s">
        <v>150</v>
      </c>
      <c r="E33" s="8" t="s">
        <v>5</v>
      </c>
    </row>
    <row r="34" spans="1:5">
      <c r="A34" s="39"/>
      <c r="B34" s="39"/>
      <c r="C34" s="18" t="s">
        <v>114</v>
      </c>
      <c r="D34" s="41" t="s">
        <v>150</v>
      </c>
      <c r="E34" s="8" t="s">
        <v>20</v>
      </c>
    </row>
    <row r="35" spans="1:5" ht="30">
      <c r="A35" s="39"/>
      <c r="B35" s="39"/>
      <c r="C35" s="18" t="s">
        <v>115</v>
      </c>
      <c r="D35" s="41" t="s">
        <v>150</v>
      </c>
      <c r="E35" s="8" t="s">
        <v>19</v>
      </c>
    </row>
    <row r="36" spans="1:5">
      <c r="A36" s="39"/>
      <c r="B36" s="39" t="s">
        <v>75</v>
      </c>
      <c r="C36" s="5" t="s">
        <v>116</v>
      </c>
      <c r="D36" s="41" t="s">
        <v>150</v>
      </c>
      <c r="E36" s="8" t="s">
        <v>49</v>
      </c>
    </row>
    <row r="37" spans="1:5">
      <c r="A37" s="39"/>
      <c r="B37" s="39"/>
      <c r="C37" s="5" t="s">
        <v>117</v>
      </c>
      <c r="D37" s="41" t="s">
        <v>150</v>
      </c>
      <c r="E37" s="8" t="s">
        <v>50</v>
      </c>
    </row>
    <row r="38" spans="1:5">
      <c r="A38" s="39"/>
      <c r="B38" s="39" t="s">
        <v>76</v>
      </c>
      <c r="C38" s="5" t="s">
        <v>118</v>
      </c>
      <c r="D38" s="41" t="s">
        <v>150</v>
      </c>
      <c r="E38" s="8" t="s">
        <v>51</v>
      </c>
    </row>
    <row r="39" spans="1:5">
      <c r="A39" s="39"/>
      <c r="B39" s="39"/>
      <c r="C39" s="5" t="s">
        <v>119</v>
      </c>
      <c r="D39" s="41" t="s">
        <v>150</v>
      </c>
      <c r="E39" s="8" t="s">
        <v>52</v>
      </c>
    </row>
    <row r="40" spans="1:5">
      <c r="A40" s="39"/>
      <c r="B40" s="39"/>
      <c r="C40" s="5" t="s">
        <v>120</v>
      </c>
      <c r="D40" s="41" t="s">
        <v>150</v>
      </c>
      <c r="E40" s="8" t="s">
        <v>53</v>
      </c>
    </row>
    <row r="41" spans="1:5">
      <c r="A41" s="39" t="s">
        <v>80</v>
      </c>
      <c r="B41" s="39" t="s">
        <v>74</v>
      </c>
      <c r="C41" s="5" t="s">
        <v>121</v>
      </c>
      <c r="D41" s="41" t="s">
        <v>150</v>
      </c>
      <c r="E41" s="8" t="s">
        <v>22</v>
      </c>
    </row>
    <row r="42" spans="1:5">
      <c r="A42" s="39"/>
      <c r="B42" s="39"/>
      <c r="C42" s="5" t="s">
        <v>122</v>
      </c>
      <c r="D42" s="41" t="s">
        <v>150</v>
      </c>
      <c r="E42" s="8" t="s">
        <v>23</v>
      </c>
    </row>
    <row r="43" spans="1:5">
      <c r="A43" s="39"/>
      <c r="B43" s="39"/>
      <c r="C43" s="5" t="s">
        <v>123</v>
      </c>
      <c r="D43" s="41" t="s">
        <v>150</v>
      </c>
      <c r="E43" s="8" t="s">
        <v>33</v>
      </c>
    </row>
    <row r="44" spans="1:5">
      <c r="A44" s="39"/>
      <c r="B44" s="39"/>
      <c r="C44" s="5" t="s">
        <v>124</v>
      </c>
      <c r="D44" s="41" t="s">
        <v>150</v>
      </c>
      <c r="E44" s="8" t="s">
        <v>21</v>
      </c>
    </row>
    <row r="45" spans="1:5" ht="30">
      <c r="A45" s="39"/>
      <c r="B45" s="39"/>
      <c r="C45" s="5" t="s">
        <v>125</v>
      </c>
      <c r="D45" s="41" t="s">
        <v>150</v>
      </c>
      <c r="E45" s="8" t="s">
        <v>19</v>
      </c>
    </row>
    <row r="46" spans="1:5">
      <c r="A46" s="39" t="s">
        <v>81</v>
      </c>
      <c r="B46" s="39" t="s">
        <v>77</v>
      </c>
      <c r="C46" s="5" t="s">
        <v>126</v>
      </c>
      <c r="D46" s="41"/>
      <c r="E46" s="8" t="s">
        <v>16</v>
      </c>
    </row>
    <row r="47" spans="1:5">
      <c r="A47" s="39"/>
      <c r="B47" s="39"/>
      <c r="C47" s="5" t="s">
        <v>127</v>
      </c>
      <c r="D47" s="41"/>
      <c r="E47" s="8" t="s">
        <v>135</v>
      </c>
    </row>
    <row r="48" spans="1:5">
      <c r="A48" s="39"/>
      <c r="B48" s="39"/>
      <c r="C48" s="5" t="s">
        <v>134</v>
      </c>
      <c r="D48" s="41"/>
      <c r="E48" s="8" t="s">
        <v>136</v>
      </c>
    </row>
    <row r="49" spans="1:5">
      <c r="A49" s="39"/>
      <c r="B49" s="39" t="s">
        <v>78</v>
      </c>
      <c r="C49" s="5" t="s">
        <v>128</v>
      </c>
      <c r="D49" s="41"/>
      <c r="E49" s="31" t="s">
        <v>146</v>
      </c>
    </row>
    <row r="50" spans="1:5">
      <c r="A50" s="39"/>
      <c r="B50" s="39"/>
      <c r="C50" s="5" t="s">
        <v>129</v>
      </c>
      <c r="D50" s="41"/>
      <c r="E50" s="31" t="s">
        <v>147</v>
      </c>
    </row>
    <row r="56" spans="1:5" ht="18" customHeight="1"/>
  </sheetData>
  <autoFilter ref="A1:D50" xr:uid="{CA9F09DA-C197-4104-89A1-F7CCEE08673B}"/>
  <mergeCells count="19">
    <mergeCell ref="A46:A50"/>
    <mergeCell ref="A8:A18"/>
    <mergeCell ref="A19:A28"/>
    <mergeCell ref="A29:A40"/>
    <mergeCell ref="A2:A7"/>
    <mergeCell ref="A41:A45"/>
    <mergeCell ref="B2:B4"/>
    <mergeCell ref="B5:B7"/>
    <mergeCell ref="B8:B13"/>
    <mergeCell ref="B16:B18"/>
    <mergeCell ref="B38:B40"/>
    <mergeCell ref="B36:B37"/>
    <mergeCell ref="B29:B35"/>
    <mergeCell ref="B26:B28"/>
    <mergeCell ref="B23:B25"/>
    <mergeCell ref="B19:B21"/>
    <mergeCell ref="B49:B50"/>
    <mergeCell ref="B46:B48"/>
    <mergeCell ref="B41:B45"/>
  </mergeCells>
  <phoneticPr fontId="2" type="noConversion"/>
  <pageMargins left="0.23622047244094491" right="0.23622047244094491" top="0.39370078740157483" bottom="0.6" header="0.31496062992125984" footer="0.31496062992125984"/>
  <pageSetup paperSize="9" scale="9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37" operator="equal" id="{C1021C36-1F34-4E96-AEEF-266101762287}">
            <xm:f>요약!$D$5</xm:f>
            <x14:dxf>
              <font>
                <b/>
                <i val="0"/>
                <strike val="0"/>
                <color theme="1"/>
              </font>
            </x14:dxf>
          </x14:cfRule>
          <x14:cfRule type="cellIs" priority="138" operator="equal" id="{E17C41FA-0399-49AD-A7D8-41D51974F3FE}">
            <xm:f>요약!$D$4</xm:f>
            <x14:dxf>
              <font>
                <b/>
                <i val="0"/>
                <strike val="0"/>
                <color theme="0" tint="-0.499984740745262"/>
              </font>
            </x14:dxf>
          </x14:cfRule>
          <x14:cfRule type="cellIs" priority="139" operator="equal" id="{EAF21A1C-E852-42CF-8584-27E6BC41F875}">
            <xm:f>요약!$D$3</xm:f>
            <x14:dxf>
              <font>
                <b/>
                <i val="0"/>
                <strike val="0"/>
                <color rgb="FFFF0000"/>
              </font>
            </x14:dxf>
          </x14:cfRule>
          <x14:cfRule type="cellIs" priority="140" operator="equal" id="{9E8A2780-B292-407D-B8C8-0550A5393312}">
            <xm:f>요약!$D$2</xm:f>
            <x14:dxf>
              <font>
                <b/>
                <i val="0"/>
                <strike val="0"/>
                <color rgb="FF0070C0"/>
              </font>
            </x14:dxf>
          </x14:cfRule>
          <xm:sqref>D64:D1048576 D51 D2:D18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C8205F-1336-4B23-BA34-568AD180CEF1}">
          <x14:formula1>
            <xm:f>요약!$D$2:$D$5</xm:f>
          </x14:formula1>
          <xm:sqref>D2:D18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94CC-22FA-44FD-9406-DEC80EB11DC2}">
  <sheetPr>
    <pageSetUpPr fitToPage="1"/>
  </sheetPr>
  <dimension ref="A1:C8"/>
  <sheetViews>
    <sheetView zoomScale="115" zoomScaleNormal="115" workbookViewId="0">
      <selection activeCell="C17" sqref="C17"/>
    </sheetView>
  </sheetViews>
  <sheetFormatPr baseColWidth="10" defaultColWidth="8.83203125" defaultRowHeight="17"/>
  <cols>
    <col min="1" max="1" width="10.6640625" style="4" customWidth="1"/>
    <col min="2" max="2" width="8.6640625" customWidth="1"/>
    <col min="3" max="3" width="45.6640625" style="3" customWidth="1"/>
    <col min="4" max="16384" width="8.83203125" style="1"/>
  </cols>
  <sheetData>
    <row r="1" spans="1:3" ht="16" thickBot="1">
      <c r="A1" s="14" t="s">
        <v>17</v>
      </c>
      <c r="B1" s="13" t="s">
        <v>137</v>
      </c>
      <c r="C1" s="13" t="s">
        <v>0</v>
      </c>
    </row>
    <row r="2" spans="1:3" ht="16" thickTop="1">
      <c r="A2" s="5"/>
      <c r="B2" s="7"/>
      <c r="C2" s="8"/>
    </row>
    <row r="3" spans="1:3" ht="15">
      <c r="A3" s="5"/>
      <c r="B3" s="9"/>
      <c r="C3" s="8"/>
    </row>
    <row r="4" spans="1:3" ht="15">
      <c r="A4" s="5"/>
      <c r="B4" s="9"/>
      <c r="C4" s="8"/>
    </row>
    <row r="5" spans="1:3" ht="15">
      <c r="A5" s="5"/>
      <c r="B5" s="9"/>
      <c r="C5" s="8"/>
    </row>
    <row r="6" spans="1:3" ht="15">
      <c r="A6" s="5"/>
      <c r="B6" s="9"/>
      <c r="C6" s="8"/>
    </row>
    <row r="7" spans="1:3" ht="15">
      <c r="A7" s="18"/>
      <c r="B7" s="9"/>
      <c r="C7" s="8"/>
    </row>
    <row r="8" spans="1:3" ht="15">
      <c r="A8" s="5"/>
      <c r="B8" s="9"/>
      <c r="C8" s="11"/>
    </row>
  </sheetData>
  <autoFilter ref="A1:C8" xr:uid="{C79A2A87-01F9-4E20-B210-7CF0A1186459}"/>
  <phoneticPr fontId="2" type="noConversion"/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41" operator="equal" id="{AC9E8AE3-C4F5-43FA-ABC0-FF144DF9242E}">
            <xm:f>요약!$D$5</xm:f>
            <x14:dxf>
              <font>
                <b/>
                <i val="0"/>
                <strike val="0"/>
                <color theme="1"/>
              </font>
            </x14:dxf>
          </x14:cfRule>
          <x14:cfRule type="cellIs" priority="142" operator="equal" id="{38BEB4B1-E17C-4C64-B8BC-3D89D2CF13DC}">
            <xm:f>요약!$D$4</xm:f>
            <x14:dxf>
              <font>
                <b/>
                <i val="0"/>
                <strike val="0"/>
                <color theme="0" tint="-0.499984740745262"/>
              </font>
            </x14:dxf>
          </x14:cfRule>
          <x14:cfRule type="cellIs" priority="143" operator="equal" id="{51507EA4-C557-4AC3-8E4C-ABA467C026BC}">
            <xm:f>요약!$D$3</xm:f>
            <x14:dxf>
              <font>
                <b/>
                <i val="0"/>
                <strike val="0"/>
                <color rgb="FFFF0000"/>
              </font>
            </x14:dxf>
          </x14:cfRule>
          <x14:cfRule type="cellIs" priority="144" operator="equal" id="{B2250996-E9C3-4981-89D0-D7BE4856F135}">
            <xm:f>요약!$D$2</xm:f>
            <x14:dxf>
              <font>
                <b/>
                <i val="0"/>
                <strike val="0"/>
                <color rgb="FF0070C0"/>
              </font>
            </x14:dxf>
          </x14:cfRule>
          <xm:sqref>B76:B1048576 B2:B63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테스트 결과</vt:lpstr>
      <vt:lpstr>참고사항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김용태</dc:creator>
  <cp:lastModifiedBy>bradkim06</cp:lastModifiedBy>
  <cp:lastPrinted>2018-11-29T02:35:45Z</cp:lastPrinted>
  <dcterms:created xsi:type="dcterms:W3CDTF">2018-11-22T06:30:00Z</dcterms:created>
  <dcterms:modified xsi:type="dcterms:W3CDTF">2022-02-14T07:50:52Z</dcterms:modified>
</cp:coreProperties>
</file>